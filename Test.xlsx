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642dadc464dda1f0/project/code/PS-Nessus-DB/"/>
    </mc:Choice>
  </mc:AlternateContent>
  <xr:revisionPtr revIDLastSave="0" documentId="8_{F85270FD-7689-40A7-8ACE-6D73E38DD268}" xr6:coauthVersionLast="47" xr6:coauthVersionMax="47" xr10:uidLastSave="{00000000-0000-0000-0000-000000000000}"/>
  <bookViews>
    <workbookView xWindow="-120" yWindow="-120" windowWidth="38640" windowHeight="15720" xr2:uid="{5F98A9AB-8224-4D64-928D-A9365FDAD3E2}"/>
  </bookViews>
  <sheets>
    <sheet name="WMIHostINFO" sheetId="4" r:id="rId1"/>
    <sheet name="LinuxHostInfo" sheetId="3" r:id="rId2"/>
    <sheet name="CVSS" sheetId="2" r:id="rId3"/>
    <sheet name="Sheet1" sheetId="1" r:id="rId4"/>
  </sheets>
  <definedNames>
    <definedName name="_xlnm._FilterDatabase" localSheetId="2" hidden="1">CVSS!$A$3:$L$3</definedName>
    <definedName name="_xlnm._FilterDatabase" localSheetId="1" hidden="1">LinuxHostInfo!$A$3:$F$3</definedName>
    <definedName name="_xlnm._FilterDatabase" localSheetId="0" hidden="1">WMIHostINFO!$A$3:$F$3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 i="4" l="1"/>
  <c r="F2" i="4"/>
  <c r="E2" i="4"/>
  <c r="D2" i="4"/>
  <c r="C4" i="3"/>
  <c r="C5" i="3"/>
  <c r="C6" i="3"/>
  <c r="F2" i="3"/>
  <c r="E2" i="3"/>
  <c r="D2" i="3"/>
  <c r="I16" i="2"/>
  <c r="I8" i="2"/>
  <c r="I6" i="2"/>
  <c r="I13" i="2"/>
  <c r="I9" i="2"/>
  <c r="I11" i="2"/>
  <c r="I5" i="2"/>
  <c r="I14" i="2"/>
  <c r="I4" i="2"/>
  <c r="I17" i="2"/>
  <c r="I15" i="2"/>
  <c r="I20" i="2"/>
  <c r="I18" i="2"/>
  <c r="I10" i="2"/>
  <c r="I19" i="2"/>
  <c r="I12" i="2"/>
  <c r="I7" i="2"/>
  <c r="L2" i="2"/>
  <c r="K2" i="2"/>
  <c r="J2" i="2"/>
</calcChain>
</file>

<file path=xl/sharedStrings.xml><?xml version="1.0" encoding="utf-8"?>
<sst xmlns="http://schemas.openxmlformats.org/spreadsheetml/2006/main" count="136" uniqueCount="84">
  <si>
    <t>CVSS Report</t>
  </si>
  <si>
    <t>pluginName</t>
  </si>
  <si>
    <t>cvss_base_score</t>
  </si>
  <si>
    <t>description</t>
  </si>
  <si>
    <t>solution</t>
  </si>
  <si>
    <t>cve</t>
  </si>
  <si>
    <t>plugin_publication_date</t>
  </si>
  <si>
    <t>risk_factor</t>
  </si>
  <si>
    <t>exploit_available</t>
  </si>
  <si>
    <t>192.168.1.59</t>
  </si>
  <si>
    <t>192.168.1.101</t>
  </si>
  <si>
    <t>192.168.1.102</t>
  </si>
  <si>
    <t>mDNS Detection (Remote Network)</t>
  </si>
  <si>
    <t>The remote service understands the Bonjour (also known as ZeroConf or mDNS) protocol, which allows anyone to uncover information from the remote host such as its operating system type and exact version, its hostname, and the list of services it is running. 
This plugin attempts to discover mDNS used by hosts that are not on the network segment on which Nessus resides.</t>
  </si>
  <si>
    <t>Filter incoming traffic to UDP port 5353, if desired.</t>
  </si>
  <si>
    <t>Medium</t>
  </si>
  <si>
    <t>Microsoft Windows Unquoted Service Path Enumeration</t>
  </si>
  <si>
    <t>The remote Windows host has at least one service installed that uses an unquoted service path, which contains at least one whitespace. A local attacker can gain elevated privileges by inserting an executable file in the path of the affected service.
Note that this is a generic test that will flag any application affected by the described vulnerability.</t>
  </si>
  <si>
    <t>Ensure that any services that contain a space in the path enclose the path in quotes.</t>
  </si>
  <si>
    <t>CVE-2013-1609;CVE-2014-0759;CVE-2014-5455</t>
  </si>
  <si>
    <t>SSL Certificate Expiry</t>
  </si>
  <si>
    <t>This plugin checks expiry dates of certificates associated with SSL- enabled services on the target and reports whether any have already expired.</t>
  </si>
  <si>
    <t>Purchase or generate a new SSL certificate to replace the existing one.</t>
  </si>
  <si>
    <t>TLS Version 1.1 Deprecated Protocol</t>
  </si>
  <si>
    <t>The remote service accepts connections encrypted using TLS 1.1. TLS 1.1 lacks support for current and recommended cipher suites. Ciphers that support encryption before MAC computation, and authenticated encryption modes such as GCM cannot be used with TLS 1.1
As of March 31, 2020, Endpoints that are not enabled for TLS 1.2 and higher will no longer function properly with major web browsers and major vendors.</t>
  </si>
  <si>
    <t>Enable support for TLS 1.2 and/or 1.3, and disable support for TLS 1.1.</t>
  </si>
  <si>
    <t>SSL Medium Strength Cipher Suites Supported (SWEET32)</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</si>
  <si>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</si>
  <si>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</si>
  <si>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CVE-2016-2183</t>
  </si>
  <si>
    <t>Terminal Services Encryption Level is Medium or Low</t>
  </si>
  <si>
    <t>The remote Terminal Services service is not configured to use strong cryptography. 
Using weak cryptography with this service may allow an attacker to eavesdrop on the communications more easily and obtain screenshots and/or keystrokes.</t>
  </si>
  <si>
    <t>Change RDP encryption level to one of :
 3. High
 4. FIPS Compliant</t>
  </si>
  <si>
    <t>Terminal Services Encryption Level is not FIPS-140 Compliant</t>
  </si>
  <si>
    <t>The encryption setting used by the remote Terminal Services service is not FIPS-140 compliant.</t>
  </si>
  <si>
    <t>Change RDP encryption level to :
 4. FIPS Compliant</t>
  </si>
  <si>
    <t>Low</t>
  </si>
  <si>
    <t>ICMP Timestamp Request Remote Date Disclosure</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</si>
  <si>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</si>
  <si>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</si>
  <si>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CVE-1999-0524</t>
  </si>
  <si>
    <t>SMB Signing not required</t>
  </si>
  <si>
    <t>Signing is not required on the remote SMB server. An unauthenticated, remote attacker can exploit this to conduct man-in-the-middle attacks against the SMB server.</t>
  </si>
  <si>
    <t>Enforce message signing in the host's configuration. On Windows, this is found in the policy setting 'Microsoft network server: Digitally sign communications (always)'. On Samba, the setting is called 'server signing'. See the 'see also' links for further details.</t>
  </si>
  <si>
    <t>Remote Desktop Protocol Server Man-in-the-Middle Weakness</t>
  </si>
  <si>
    <t>The remote version of the Remote Desktop Protocol Server (Terminal Service) is vulnerable to a man-in-the-middle (MiTM) attack. The RDP client makes no effort to validate the identity of the server when setting up encryption. An attacker with the ability to intercept traffic from the RDP server can establish encryption with the client and server without being detected. A MiTM attack of this nature would allow the attacker to obtain any sensitive information transmitted, including authentication credentials.
This flaw exists because the RDP server stores a publicly known hard-coded RSA private key. Any attacker in a privileged network location can use the key for this attack.</t>
  </si>
  <si>
    <t>- Force the use of SSL as a transport layer for this service if supported, or/and
- On Microsoft Windows operating systems, select the 'Allow connections only from computers running Remote  Desktop with Network Level Authentication' setting if it is available.</t>
  </si>
  <si>
    <t>CVE-2005-1794</t>
  </si>
  <si>
    <t>Microsoft Windows SMB Shares Unprivileged Access</t>
  </si>
  <si>
    <t>The remote host has one or more Windows shares that can be accessed through the network with the given credentials. 
Depending on the share rights, it may allow an attacker to read/write confidential data.</t>
  </si>
  <si>
    <t>To restrict access under Windows, open Explorer, right click on each share, go to the 'Sharing' tab, and click on 'Permissions'.</t>
  </si>
  <si>
    <t>CVE-1999-0519;CVE-1999-0520</t>
  </si>
  <si>
    <t>High</t>
  </si>
  <si>
    <t>TLS Version 1.0 Protocol Detection</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</si>
  <si>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</si>
  <si>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</si>
  <si>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SSL Certificate with Wrong Hostname</t>
  </si>
  <si>
    <t>The 'commonName' (CN) attribute of the SSL certificate presented for this service is for a different machine.</t>
  </si>
  <si>
    <t>Purchase or generate a proper SSL certificate for this service.</t>
  </si>
  <si>
    <t>Terminal Services Doesn't Use Network Level Authentication (NLA) Only</t>
  </si>
  <si>
    <t>The remote Terminal Services is not configured to use Network Level Authentication (NLA) only. NLA uses the Credential Security Support Provider (CredSSP) protocol to perform strong server authentication either through TLS/SSL or Kerberos mechanisms, which protect against man-in-the-middle attacks. In addition to improving authentication, NLA also helps protect the remote computer from malicious users and software by completing user authentication before a full RDP connection is established.</t>
  </si>
  <si>
    <t>Enable Network Level Authentication (NLA) on the remote RDP server. This is generally done on the 'Remote' tab of the 'System' settings on Windows.</t>
  </si>
  <si>
    <t>SSL Certificate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</si>
  <si>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</si>
  <si>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SSL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</si>
  <si>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</si>
  <si>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Insecure Windows Service Permissions</t>
  </si>
  <si>
    <t>At least one Windows service executable with insecure permissions was detected on the remote host. Services configured to use an executable with weak permissions are vulnerable to privilege escalation attacks.
An unprivileged user could modify or overwrite the executable with arbitrary code, which would be executed the next time the service is started. Depending on the user that the service runs as, this could result in privilege escalation.
This plugin checks if any of the following groups have permissions to modify executable files that are started by Windows services :
  - Everyone
    - Users
    - Domain Users
    - Authenticated Users</t>
  </si>
  <si>
    <t>Ensure that the Everyone, Users, Domain Users and Authenticated Users groups do not have permissions to modify or write service executables. Additionally, ensure these groups do not have Full Control permission to any directories that contain service executables.</t>
  </si>
  <si>
    <t>x</t>
  </si>
  <si>
    <t>Linux Host Information</t>
  </si>
  <si>
    <t>pluginID</t>
  </si>
  <si>
    <t>OS Identification</t>
  </si>
  <si>
    <t>Common Platform Enumeration (CPE)</t>
  </si>
  <si>
    <t>Nessus Scan Information</t>
  </si>
  <si>
    <t xml:space="preserve">
The remote operating system matched the following CPE's : 
  cpe:/o:microsoft:windows_10:::enterprise -&gt; Microsoft Windows 10
  cpe:/o:microsoft:windows_server_2019 -&gt; Microsoft Windows Server 2019
</t>
  </si>
  <si>
    <t xml:space="preserve">Information about this scan : 
Nessus version : 10.9.4
Nessus build : 20037
Plugin feed version : 202510111448
Scanner edition used : Nessus Home
Scanner OS : LINUX
Scanner distribution : ubuntu1604-x86-64
Scan type : Normal
Scan name : My Basic Network Scan
Scan policy used : Basic Network Scan
Scanner IP : 172.17.0.2
Port scanner(s) : nessus_syn_scanner 
Port range : default
Ping RTT : 12.847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30
Max checks : 4
Recv timeout : 5
Backports : None
Allow post-scan editing : Yes
Nessus Plugin Signature Checking : Enabled
Audit File Signature Checking : Disabled
Scan Start Date : 2025/10/13 0:02 EDT (UTC -04:00)
Scan duration : 520 sec
Scan for malware : no
</t>
  </si>
  <si>
    <t xml:space="preserve">
Remote operating system : Microsoft Windows 10 Enterprise
Microsoft Windows Server 2019 LTSC
Microsoft Windows Server 2019
Confidence level : 59
Method : SinFP
The remote host is running one of these operating systems : 
Microsoft Windows 10 Enterprise
Microsoft Windows Server 2019 LTSC
Microsoft Windows Server 2019</t>
  </si>
  <si>
    <t xml:space="preserve">Information about this scan : 
Nessus version : 10.9.4
Nessus build : 20037
Plugin feed version : 202510111448
Scanner edition used : Nessus Home
Scanner OS : LINUX
Scanner distribution : ubuntu1604-x86-64
Scan type : Normal
Scan name : My Basic Network Scan
Scan policy used : Basic Network Scan
Scanner IP : 172.17.0.2
Port scanner(s) : nessus_syn_scanner 
Port range : default
Ping RTT : 10.473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30
Max checks : 4
Recv timeout : 5
Backports : None
Allow post-scan editing : Yes
Nessus Plugin Signature Checking : Enabled
Audit File Signature Checking : Disabled
Scan Start Date : 2025/10/13 0:01 EDT (UTC -04:00)
Scan duration : 1039 sec
Scan for malware : no
</t>
  </si>
  <si>
    <t xml:space="preserve">
The remote operating system matched the following CPE : 
  cpe:/o:microsoft:windows -&gt; Microsoft Windows
Following application CPE matched on the remote system : 
  cpe:/a:vmware:vmware_server
</t>
  </si>
  <si>
    <t xml:space="preserve">
Remote operating system : Microsoft Windows
Confidence level : 70
Method : HTTP
The remote host is running Microsoft Windows</t>
  </si>
  <si>
    <t xml:space="preserve">Information about this scan : 
Nessus version : 10.9.4
Nessus build : 20037
Plugin feed version : 202510111448
Scanner edition used : Nessus Home
Scanner OS : LINUX
Scanner distribution : ubuntu1604-x86-64
Scan type : Normal
Scan name : My Basic Network Scan
Scan policy used : Basic Network Scan
Scanner IP : 172.17.0.2
Port scanner(s) : nessus_syn_scanner 
Port range : default
Ping RTT : 8.371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30
Max checks : 4
Recv timeout : 5
Backports : None
Allow post-scan editing : Yes
Nessus Plugin Signature Checking : Enabled
Audit File Signature Checking : Disabled
Scan Start Date : 2025/10/13 0:02 EDT (UTC -04:00)
Scan duration : 714 sec
Scan for malware : no
</t>
  </si>
  <si>
    <t xml:space="preserve">
The remote operating system matched the following CPE : 
  cpe:/o:microsoft:windows -&gt; Microsoft Windows
</t>
  </si>
  <si>
    <t>Windows Host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</si>
</sst>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textRotation="90"/>
    </xf>
    <xf numFmtId="0" fontId="0" fillId="0" borderId="0" xfId="0" applyAlignment="1">
      <alignment vertical="top"/>
    </xf>
    <xf numFmtId="0" fontId="0" fillId="0" borderId="0" xfId="0" applyAlignment="1">
      <alignment wrapText="1"/>
    </xf>
    <xf numFmtId="0" fontId="0" fillId="0" borderId="0" xfId="0" applyAlignment="1">
      <alignment vertical="top" wrapText="1"/>
    </xf>
    <xf numFmtId="14" fontId="0" fillId="0" borderId="0" xfId="0" applyNumberFormat="1" applyAlignment="1">
      <alignment vertical="top"/>
    </xf>
    <xf numFmtId="0" fontId="1" fillId="0" borderId="0" xfId="0" applyFont="1" applyAlignment="1">
      <alignment horizontal="left" vertical="center" textRotation="9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B0EE-695A-4BDA-9B34-3647D6534CBD}">
  <dimension ref="A1:F4"/>
  <sheetViews>
    <sheetView tabSelected="1" workbookViewId="0">
      <pane xSplit="3" ySplit="3" topLeftCell="D4" activePane="bottomRight" state="frozenSplit"/>
      <selection pane="bottomLeft" activeCell="A4" sqref="A4"/>
      <selection pane="topRight" activeCell="D1" sqref="D1"/>
      <selection pane="bottomRight"/>
    </sheetView>
  </sheetViews>
  <sheetFormatPr defaultRowHeight="15" x14ac:dyDescent="0.25"/>
  <cols>
    <col min="1" max="1" width="8.42578125" bestFit="1" customWidth="1"/>
    <col min="4" max="6" width="3.7109375" bestFit="1" customWidth="1"/>
  </cols>
  <sheetData>
    <row r="1" spans="1:6" s="1" customFormat="1" ht="285" x14ac:dyDescent="0.25">
      <c r="A1" s="6" t="s">
        <v>83</v>
      </c>
      <c r="D1" s="1" t="s">
        <v>9</v>
      </c>
      <c r="E1" s="1" t="s">
        <v>10</v>
      </c>
      <c r="F1" s="1" t="s">
        <v>11</v>
      </c>
    </row>
    <row r="2" spans="1:6" x14ac:dyDescent="0.25">
      <c r="A2" t="s">
        <v>71</v>
      </c>
      <c r="B2" t="s">
        <v>1</v>
      </c>
      <c r="D2">
        <f>COUNTA(D3:D1048576)</f>
        <v>1</v>
      </c>
      <c r="E2">
        <f>COUNTA(E3:E1048576)</f>
        <v>1</v>
      </c>
      <c r="F2">
        <f>COUNTA(F3:F1048576)</f>
        <v>1</v>
      </c>
    </row>
    <row r="4" spans="1:6" ht="409.5" x14ac:dyDescent="0.25">
      <c r="A4" s="2">
        <v>19506</v>
      </c>
      <c r="B4" s="2" t="s">
        <v>74</v>
      </c>
      <c r="C4">
        <f>COUNTA(D4:XFD4)</f>
        <v>3</v>
      </c>
      <c r="D4" s="3" t="s">
        <v>81</v>
      </c>
      <c r="E4" s="3" t="s">
        <v>78</v>
      </c>
      <c r="F4" s="3" t="s">
        <v>76</v>
      </c>
    </row>
  </sheetData>
  <autoFilter ref="A3:F3" xr:uid="{62B6B0EE-695A-4BDA-9B34-3647D6534CB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1F303-0FE2-44CA-9CD4-5319E96DB21B}">
  <dimension ref="A1:F6"/>
  <sheetViews>
    <sheetView workbookViewId="0">
      <pane xSplit="3" ySplit="3" topLeftCell="D4" activePane="bottomRight" state="frozenSplit"/>
      <selection pane="bottomLeft" activeCell="A4" sqref="A4"/>
      <selection pane="topRight" activeCell="D1" sqref="D1"/>
      <selection pane="bottomRight"/>
    </sheetView>
  </sheetViews>
  <sheetFormatPr defaultRowHeight="15" x14ac:dyDescent="0.25"/>
  <cols>
    <col min="1" max="1" width="8.42578125" bestFit="1" customWidth="1"/>
    <col min="4" max="6" width="3.7109375" bestFit="1" customWidth="1"/>
  </cols>
  <sheetData>
    <row r="1" spans="1:6" s="1" customFormat="1" ht="243" x14ac:dyDescent="0.25">
      <c r="A1" s="6" t="s">
        <v>70</v>
      </c>
      <c r="D1" s="1" t="s">
        <v>9</v>
      </c>
      <c r="E1" s="1" t="s">
        <v>10</v>
      </c>
      <c r="F1" s="1" t="s">
        <v>11</v>
      </c>
    </row>
    <row r="2" spans="1:6" x14ac:dyDescent="0.25">
      <c r="A2" t="s">
        <v>71</v>
      </c>
      <c r="B2" t="s">
        <v>1</v>
      </c>
      <c r="D2">
        <f>COUNTA(D3:D1048576)</f>
        <v>3</v>
      </c>
      <c r="E2">
        <f>COUNTA(E3:E1048576)</f>
        <v>3</v>
      </c>
      <c r="F2">
        <f>COUNTA(F3:F1048576)</f>
        <v>3</v>
      </c>
    </row>
    <row r="4" spans="1:6" ht="409.5" x14ac:dyDescent="0.25">
      <c r="A4" s="2">
        <v>19506</v>
      </c>
      <c r="B4" s="2" t="s">
        <v>74</v>
      </c>
      <c r="C4">
        <f>COUNTA(D4:XFD4)</f>
        <v>3</v>
      </c>
      <c r="D4" s="3" t="s">
        <v>81</v>
      </c>
      <c r="E4" s="3" t="s">
        <v>78</v>
      </c>
      <c r="F4" s="3" t="s">
        <v>76</v>
      </c>
    </row>
    <row r="5" spans="1:6" ht="409.5" x14ac:dyDescent="0.25">
      <c r="A5" s="2">
        <v>45590</v>
      </c>
      <c r="B5" s="2" t="s">
        <v>73</v>
      </c>
      <c r="C5">
        <f>COUNTA(D5:XFD5)</f>
        <v>3</v>
      </c>
      <c r="D5" s="3" t="s">
        <v>82</v>
      </c>
      <c r="E5" s="3" t="s">
        <v>79</v>
      </c>
      <c r="F5" s="3" t="s">
        <v>75</v>
      </c>
    </row>
    <row r="6" spans="1:6" ht="409.5" x14ac:dyDescent="0.25">
      <c r="A6" s="2">
        <v>11936</v>
      </c>
      <c r="B6" s="2" t="s">
        <v>72</v>
      </c>
      <c r="C6">
        <f>COUNTA(D6:XFD6)</f>
        <v>3</v>
      </c>
      <c r="D6" s="3" t="s">
        <v>80</v>
      </c>
      <c r="E6" s="3" t="s">
        <v>80</v>
      </c>
      <c r="F6" s="3" t="s">
        <v>77</v>
      </c>
    </row>
  </sheetData>
  <autoFilter ref="A3:F3" xr:uid="{8E51F303-0FE2-44CA-9CD4-5319E96DB21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DF9D3-AB00-4283-9F13-8A0C0E9F4DB5}">
  <dimension ref="A1:L20"/>
  <sheetViews>
    <sheetView workbookViewId="0">
      <pane xSplit="9" ySplit="3" topLeftCell="J4" activePane="bottomRight" state="frozenSplit"/>
      <selection pane="bottomLeft" activeCell="A4" sqref="A4"/>
      <selection pane="topRight" activeCell="J1" sqref="J1"/>
      <selection pane="bottomRight"/>
    </sheetView>
  </sheetViews>
  <sheetFormatPr defaultRowHeight="15" x14ac:dyDescent="0.25"/>
  <cols>
    <col min="1" max="1" width="11.85546875" bestFit="1" customWidth="1"/>
    <col min="10" max="12" width="3.7109375" bestFit="1" customWidth="1"/>
  </cols>
  <sheetData>
    <row r="1" spans="1:12" s="1" customFormat="1" ht="132.75" x14ac:dyDescent="0.25">
      <c r="A1" s="6" t="s">
        <v>0</v>
      </c>
      <c r="J1" s="1" t="s">
        <v>9</v>
      </c>
      <c r="K1" s="1" t="s">
        <v>10</v>
      </c>
      <c r="L1" s="1" t="s">
        <v>11</v>
      </c>
    </row>
    <row r="2" spans="1:12" x14ac:dyDescent="0.25">
      <c r="A2" t="s">
        <v>1</v>
      </c>
      <c r="B2" t="s">
        <v>2</v>
      </c>
      <c r="C2" t="s">
        <v>3</v>
      </c>
      <c r="D2" t="s">
        <v>4</v>
      </c>
      <c r="E2" t="s">
        <v>5</v>
      </c>
      <c r="F2" t="s">
        <v>6</v>
      </c>
      <c r="G2" t="s">
        <v>7</v>
      </c>
      <c r="H2" t="s">
        <v>8</v>
      </c>
      <c r="J2">
        <f>COUNTA(J3:J1048576)</f>
        <v>13</v>
      </c>
      <c r="K2">
        <f>COUNTA(K3:K1048576)</f>
        <v>8</v>
      </c>
      <c r="L2">
        <f>COUNTA(L3:L1048576)</f>
        <v>2</v>
      </c>
    </row>
    <row r="4" spans="1:12" x14ac:dyDescent="0.25">
      <c r="A4" s="2" t="s">
        <v>41</v>
      </c>
      <c r="B4" s="2">
        <v>5</v>
      </c>
      <c r="C4" s="2" t="s">
        <v>42</v>
      </c>
      <c r="D4" s="2" t="s">
        <v>43</v>
      </c>
      <c r="E4" s="2"/>
      <c r="F4" s="5">
        <v>40927</v>
      </c>
      <c r="G4" s="2" t="s">
        <v>15</v>
      </c>
      <c r="H4" s="2" t="b">
        <v>1</v>
      </c>
      <c r="I4">
        <f>COUNTIF(J4:XFD4,"x")</f>
        <v>3</v>
      </c>
      <c r="J4" t="s">
        <v>69</v>
      </c>
      <c r="K4" t="s">
        <v>69</v>
      </c>
      <c r="L4" t="s">
        <v>69</v>
      </c>
    </row>
    <row r="5" spans="1:12" ht="409.5" x14ac:dyDescent="0.25">
      <c r="A5" s="2" t="s">
        <v>48</v>
      </c>
      <c r="B5" s="2">
        <v>7.5</v>
      </c>
      <c r="C5" s="4" t="s">
        <v>49</v>
      </c>
      <c r="D5" s="2" t="s">
        <v>50</v>
      </c>
      <c r="E5" s="2" t="s">
        <v>51</v>
      </c>
      <c r="F5" s="5">
        <v>40123</v>
      </c>
      <c r="G5" s="2" t="s">
        <v>52</v>
      </c>
      <c r="H5" s="2" t="b">
        <v>0</v>
      </c>
      <c r="I5">
        <f>COUNTIF(J5:XFD5,"x")</f>
        <v>2</v>
      </c>
      <c r="K5" t="s">
        <v>69</v>
      </c>
      <c r="L5" t="s">
        <v>69</v>
      </c>
    </row>
    <row r="6" spans="1:12" ht="409.5" x14ac:dyDescent="0.25">
      <c r="A6" s="2" t="s">
        <v>62</v>
      </c>
      <c r="B6" s="2">
        <v>6.4</v>
      </c>
      <c r="C6" s="4" t="s">
        <v>63</v>
      </c>
      <c r="D6" s="2" t="s">
        <v>58</v>
      </c>
      <c r="E6" s="2"/>
      <c r="F6" s="5">
        <v>40527</v>
      </c>
      <c r="G6" s="2" t="s">
        <v>15</v>
      </c>
      <c r="H6" s="2"/>
      <c r="I6">
        <f>COUNTIF(J6:XFD6,"x")</f>
        <v>2</v>
      </c>
      <c r="J6" t="s">
        <v>69</v>
      </c>
      <c r="K6" t="s">
        <v>69</v>
      </c>
    </row>
    <row r="7" spans="1:12" ht="409.5" x14ac:dyDescent="0.25">
      <c r="A7" s="2" t="s">
        <v>12</v>
      </c>
      <c r="B7" s="2">
        <v>5</v>
      </c>
      <c r="C7" s="4" t="s">
        <v>13</v>
      </c>
      <c r="D7" s="2" t="s">
        <v>14</v>
      </c>
      <c r="E7" s="2"/>
      <c r="F7" s="5">
        <v>38105</v>
      </c>
      <c r="G7" s="2" t="s">
        <v>15</v>
      </c>
      <c r="H7" s="2"/>
      <c r="I7">
        <f>COUNTIF(J7:XFD7,"x")</f>
        <v>2</v>
      </c>
      <c r="J7" t="s">
        <v>69</v>
      </c>
      <c r="K7" t="s">
        <v>69</v>
      </c>
    </row>
    <row r="8" spans="1:12" ht="409.5" x14ac:dyDescent="0.25">
      <c r="A8" s="2" t="s">
        <v>64</v>
      </c>
      <c r="B8" s="2">
        <v>6.4</v>
      </c>
      <c r="C8" s="4" t="s">
        <v>65</v>
      </c>
      <c r="D8" s="2" t="s">
        <v>58</v>
      </c>
      <c r="E8" s="2"/>
      <c r="F8" s="5">
        <v>40925</v>
      </c>
      <c r="G8" s="2" t="s">
        <v>15</v>
      </c>
      <c r="H8" s="2"/>
      <c r="I8">
        <f>COUNTIF(J8:XFD8,"x")</f>
        <v>2</v>
      </c>
      <c r="J8" t="s">
        <v>69</v>
      </c>
      <c r="K8" t="s">
        <v>69</v>
      </c>
    </row>
    <row r="9" spans="1:12" x14ac:dyDescent="0.25">
      <c r="A9" s="2" t="s">
        <v>56</v>
      </c>
      <c r="B9" s="2">
        <v>5</v>
      </c>
      <c r="C9" s="2" t="s">
        <v>57</v>
      </c>
      <c r="D9" s="2" t="s">
        <v>58</v>
      </c>
      <c r="E9" s="2"/>
      <c r="F9" s="5">
        <v>40271</v>
      </c>
      <c r="G9" s="2" t="s">
        <v>15</v>
      </c>
      <c r="H9" s="2"/>
      <c r="I9">
        <f>COUNTIF(J9:XFD9,"x")</f>
        <v>1</v>
      </c>
      <c r="K9" t="s">
        <v>69</v>
      </c>
    </row>
    <row r="10" spans="1:12" ht="409.5" x14ac:dyDescent="0.25">
      <c r="A10" s="2" t="s">
        <v>23</v>
      </c>
      <c r="B10" s="2">
        <v>6.1</v>
      </c>
      <c r="C10" s="4" t="s">
        <v>24</v>
      </c>
      <c r="D10" s="2" t="s">
        <v>25</v>
      </c>
      <c r="E10" s="2"/>
      <c r="F10" s="5">
        <v>44655</v>
      </c>
      <c r="G10" s="2" t="s">
        <v>15</v>
      </c>
      <c r="H10" s="2"/>
      <c r="I10">
        <f>COUNTIF(J10:XFD10,"x")</f>
        <v>1</v>
      </c>
      <c r="J10" t="s">
        <v>69</v>
      </c>
    </row>
    <row r="11" spans="1:12" ht="409.5" x14ac:dyDescent="0.25">
      <c r="A11" s="2" t="s">
        <v>53</v>
      </c>
      <c r="B11" s="2">
        <v>6.1</v>
      </c>
      <c r="C11" s="4" t="s">
        <v>54</v>
      </c>
      <c r="D11" s="2" t="s">
        <v>55</v>
      </c>
      <c r="E11" s="2"/>
      <c r="F11" s="5">
        <v>43061</v>
      </c>
      <c r="G11" s="2" t="s">
        <v>15</v>
      </c>
      <c r="H11" s="2"/>
      <c r="I11">
        <f>COUNTIF(J11:XFD11,"x")</f>
        <v>1</v>
      </c>
      <c r="J11" t="s">
        <v>69</v>
      </c>
    </row>
    <row r="12" spans="1:12" ht="409.5" x14ac:dyDescent="0.25">
      <c r="A12" s="2" t="s">
        <v>16</v>
      </c>
      <c r="B12" s="2">
        <v>6.9</v>
      </c>
      <c r="C12" s="4" t="s">
        <v>17</v>
      </c>
      <c r="D12" s="2" t="s">
        <v>18</v>
      </c>
      <c r="E12" s="2" t="s">
        <v>19</v>
      </c>
      <c r="F12" s="5">
        <v>41248</v>
      </c>
      <c r="G12" s="2" t="s">
        <v>15</v>
      </c>
      <c r="H12" s="2" t="b">
        <v>1</v>
      </c>
      <c r="I12">
        <f>COUNTIF(J12:XFD12,"x")</f>
        <v>1</v>
      </c>
      <c r="J12" t="s">
        <v>69</v>
      </c>
    </row>
    <row r="13" spans="1:12" x14ac:dyDescent="0.25">
      <c r="A13" s="2" t="s">
        <v>59</v>
      </c>
      <c r="B13" s="2">
        <v>4.3</v>
      </c>
      <c r="C13" s="2" t="s">
        <v>60</v>
      </c>
      <c r="D13" s="2" t="s">
        <v>61</v>
      </c>
      <c r="E13" s="2"/>
      <c r="F13" s="5">
        <v>40991</v>
      </c>
      <c r="G13" s="2" t="s">
        <v>15</v>
      </c>
      <c r="H13" s="2"/>
      <c r="I13">
        <f>COUNTIF(J13:XFD13,"x")</f>
        <v>1</v>
      </c>
      <c r="J13" t="s">
        <v>69</v>
      </c>
    </row>
    <row r="14" spans="1:12" ht="409.5" x14ac:dyDescent="0.25">
      <c r="A14" s="2" t="s">
        <v>44</v>
      </c>
      <c r="B14" s="2">
        <v>5.0999999999999996</v>
      </c>
      <c r="C14" s="4" t="s">
        <v>45</v>
      </c>
      <c r="D14" s="4" t="s">
        <v>46</v>
      </c>
      <c r="E14" s="2" t="s">
        <v>47</v>
      </c>
      <c r="F14" s="5">
        <v>38504</v>
      </c>
      <c r="G14" s="2" t="s">
        <v>15</v>
      </c>
      <c r="H14" s="2" t="b">
        <v>0</v>
      </c>
      <c r="I14">
        <f>COUNTIF(J14:XFD14,"x")</f>
        <v>1</v>
      </c>
      <c r="J14" t="s">
        <v>69</v>
      </c>
    </row>
    <row r="15" spans="1:12" ht="135" x14ac:dyDescent="0.25">
      <c r="A15" s="2" t="s">
        <v>33</v>
      </c>
      <c r="B15" s="2">
        <v>2.6</v>
      </c>
      <c r="C15" s="2" t="s">
        <v>34</v>
      </c>
      <c r="D15" s="4" t="s">
        <v>35</v>
      </c>
      <c r="E15" s="2"/>
      <c r="F15" s="5">
        <v>39489</v>
      </c>
      <c r="G15" s="2" t="s">
        <v>36</v>
      </c>
      <c r="H15" s="2"/>
      <c r="I15">
        <f>COUNTIF(J15:XFD15,"x")</f>
        <v>1</v>
      </c>
      <c r="J15" t="s">
        <v>69</v>
      </c>
    </row>
    <row r="16" spans="1:12" ht="409.5" x14ac:dyDescent="0.25">
      <c r="A16" s="2" t="s">
        <v>66</v>
      </c>
      <c r="B16" s="2">
        <v>7.2</v>
      </c>
      <c r="C16" s="4" t="s">
        <v>67</v>
      </c>
      <c r="D16" s="2" t="s">
        <v>68</v>
      </c>
      <c r="E16" s="2"/>
      <c r="F16" s="5">
        <v>41339</v>
      </c>
      <c r="G16" s="2" t="s">
        <v>52</v>
      </c>
      <c r="H16" s="2"/>
      <c r="I16">
        <f>COUNTIF(J16:XFD16,"x")</f>
        <v>1</v>
      </c>
      <c r="J16" t="s">
        <v>69</v>
      </c>
    </row>
    <row r="17" spans="1:11" ht="409.5" x14ac:dyDescent="0.25">
      <c r="A17" s="2" t="s">
        <v>37</v>
      </c>
      <c r="B17" s="2">
        <v>2.1</v>
      </c>
      <c r="C17" s="4" t="s">
        <v>38</v>
      </c>
      <c r="D17" s="2" t="s">
        <v>39</v>
      </c>
      <c r="E17" s="2" t="s">
        <v>40</v>
      </c>
      <c r="F17" s="5">
        <v>36373</v>
      </c>
      <c r="G17" s="2" t="s">
        <v>36</v>
      </c>
      <c r="H17" s="2"/>
      <c r="I17">
        <f>COUNTIF(J17:XFD17,"x")</f>
        <v>1</v>
      </c>
      <c r="K17" t="s">
        <v>69</v>
      </c>
    </row>
    <row r="18" spans="1:11" ht="409.5" x14ac:dyDescent="0.25">
      <c r="A18" s="2" t="s">
        <v>26</v>
      </c>
      <c r="B18" s="2">
        <v>5</v>
      </c>
      <c r="C18" s="4" t="s">
        <v>27</v>
      </c>
      <c r="D18" s="2" t="s">
        <v>28</v>
      </c>
      <c r="E18" s="2" t="s">
        <v>29</v>
      </c>
      <c r="F18" s="5">
        <v>40140</v>
      </c>
      <c r="G18" s="2" t="s">
        <v>15</v>
      </c>
      <c r="H18" s="2"/>
      <c r="I18">
        <f>COUNTIF(J18:XFD18,"x")</f>
        <v>1</v>
      </c>
      <c r="J18" t="s">
        <v>69</v>
      </c>
    </row>
    <row r="19" spans="1:11" x14ac:dyDescent="0.25">
      <c r="A19" s="2" t="s">
        <v>20</v>
      </c>
      <c r="B19" s="2">
        <v>5</v>
      </c>
      <c r="C19" s="2" t="s">
        <v>21</v>
      </c>
      <c r="D19" s="2" t="s">
        <v>22</v>
      </c>
      <c r="E19" s="2"/>
      <c r="F19" s="5">
        <v>38324</v>
      </c>
      <c r="G19" s="2" t="s">
        <v>15</v>
      </c>
      <c r="H19" s="2"/>
      <c r="I19">
        <f>COUNTIF(J19:XFD19,"x")</f>
        <v>1</v>
      </c>
      <c r="K19" t="s">
        <v>69</v>
      </c>
    </row>
    <row r="20" spans="1:11" ht="409.5" x14ac:dyDescent="0.25">
      <c r="A20" s="2" t="s">
        <v>30</v>
      </c>
      <c r="B20" s="2">
        <v>4.3</v>
      </c>
      <c r="C20" s="4" t="s">
        <v>31</v>
      </c>
      <c r="D20" s="4" t="s">
        <v>32</v>
      </c>
      <c r="E20" s="2"/>
      <c r="F20" s="5">
        <v>40933</v>
      </c>
      <c r="G20" s="2" t="s">
        <v>15</v>
      </c>
      <c r="H20" s="2"/>
      <c r="I20">
        <f>COUNTIF(J20:XFD20,"x")</f>
        <v>1</v>
      </c>
      <c r="J20" t="s">
        <v>69</v>
      </c>
    </row>
  </sheetData>
  <autoFilter ref="A3:L3" xr:uid="{636DF9D3-AB00-4283-9F13-8A0C0E9F4DB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325E-AD4C-4502-A482-FC5E6FA39CBD}">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WMIHostINFO</vt:lpstr>
      <vt:lpstr>LinuxHostInfo</vt:lpstr>
      <vt:lpstr>CVSS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Morris</dc:creator>
  <cp:lastModifiedBy>Brandon Morris</cp:lastModifiedBy>
  <dcterms:created xsi:type="dcterms:W3CDTF">2025-10-18T16:08:49Z</dcterms:created>
  <dcterms:modified xsi:type="dcterms:W3CDTF">2025-10-18T16:08:53Z</dcterms:modified>
</cp:coreProperties>
</file>